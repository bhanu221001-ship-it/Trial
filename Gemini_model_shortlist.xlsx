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s" sheetId="1" state="visible" r:id="rId3"/>
    <sheet name="Cost estimate" sheetId="2" state="visible" r:id="rId4"/>
    <sheet name="Notes and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<sst xmlns="http://schemas.openxmlformats.org/spreadsheetml/2006/main" count="160" uniqueCount="117">
  <si>
    <t xml:space="preserve">Gemini models for StyleMate — shortlist</t>
  </si>
  <si>
    <t xml:space="preserve">Use cases: (1) understanding a shopper's sentence, with some reasoning   (2) reading skin undertone and depth from a photo   (3) describing the garment in a photo</t>
  </si>
  <si>
    <t xml:space="preserve">All prices USD per 1,000,000 tokens, paid tier, read from the Gemini API pricing page on 28 Oct 2026. Prices move — re-check before committing spend. Sources on the 'Notes and sources' sheet.</t>
  </si>
  <si>
    <t xml:space="preserve">Model ID</t>
  </si>
  <si>
    <t xml:space="preserve">Gen</t>
  </si>
  <si>
    <t xml:space="preserve">Status</t>
  </si>
  <si>
    <t xml:space="preserve">Input $/1M</t>
  </si>
  <si>
    <t xml:space="preserve">Output $/1M
(incl. thinking)</t>
  </si>
  <si>
    <t xml:space="preserve">Image
input</t>
  </si>
  <si>
    <t xml:space="preserve">Thinking control</t>
  </si>
  <si>
    <t xml:space="preserve">Context
in / out</t>
  </si>
  <si>
    <t xml:space="preserve">Fit for our three jobs</t>
  </si>
  <si>
    <t xml:space="preserve">Notes and caveats</t>
  </si>
  <si>
    <t xml:space="preserve">gemini-3.1-flash-lite</t>
  </si>
  <si>
    <t xml:space="preserve">3.1</t>
  </si>
  <si>
    <t xml:space="preserve">Stable</t>
  </si>
  <si>
    <t xml:space="preserve">Yes</t>
  </si>
  <si>
    <t xml:space="preserve">minimal / low / medium / high
(defaults to minimal)</t>
  </si>
  <si>
    <t xml:space="preserve">1M / 64k</t>
  </si>
  <si>
    <t xml:space="preserve">ALL THREE. The default pick: query parsing, skin tone, garment description.</t>
  </si>
  <si>
    <t xml:space="preserve">Cheapest current-gen model that still reasons on demand. Defaults to minimal thinking, so you pay for reasoning only when you raise the level. Audio input is $0.50.</t>
  </si>
  <si>
    <t xml:space="preserve">gemini-2.5-flash-lite</t>
  </si>
  <si>
    <t xml:space="preserve">2.5</t>
  </si>
  <si>
    <t xml:space="preserve">Gemini 2.5 thinking config</t>
  </si>
  <si>
    <t xml:space="preserve">not stated</t>
  </si>
  <si>
    <t xml:space="preserve">Volume fallback for query parsing.</t>
  </si>
  <si>
    <t xml:space="preserve">Cheapest on the whole price list — output is a quarter of any 3.x model. Older generation, so weaker reasoning. Worth A/B-ing against 3.1 Flash-Lite on your own queries.</t>
  </si>
  <si>
    <t xml:space="preserve">gemini-3.5-flash-lite</t>
  </si>
  <si>
    <t xml:space="preserve">3.5</t>
  </si>
  <si>
    <t xml:space="preserve">minimal / low / medium / high</t>
  </si>
  <si>
    <t xml:space="preserve">Query parsing and both image jobs when 3.1 Lite is not accurate enough.</t>
  </si>
  <si>
    <t xml:space="preserve">Newer lite tier. 20% more on input than 3.1 Lite but 67% more on output, and output is where thinking is billed.</t>
  </si>
  <si>
    <t xml:space="preserve">gemini-3-flash-preview</t>
  </si>
  <si>
    <t xml:space="preserve">3.0</t>
  </si>
  <si>
    <t xml:space="preserve">Preview</t>
  </si>
  <si>
    <t xml:space="preserve">Middle option for image description.</t>
  </si>
  <si>
    <t xml:space="preserve">Preview status: do not build a demo deadline around it. Audio input is $1.00.</t>
  </si>
  <si>
    <t xml:space="preserve">gemini-3.6-flash</t>
  </si>
  <si>
    <t xml:space="preserve">3.6</t>
  </si>
  <si>
    <t xml:space="preserve">Harder garment descriptions; nuanced queries.</t>
  </si>
  <si>
    <t xml:space="preserve">PRICE RISES to $1.50 / $7.50 on 1 Jan 2027 — double. Budget on the post-rise number, not today's.</t>
  </si>
  <si>
    <t xml:space="preserve">gemini-3.8-flash</t>
  </si>
  <si>
    <t xml:space="preserve">3.8</t>
  </si>
  <si>
    <t xml:space="preserve">The best Flash for sentence understanding.</t>
  </si>
  <si>
    <t xml:space="preserve">Google's most intelligent Flash; built for long-horizon agent work. Same price as 3.6 today and the SAME RISE on 1 Jan 2027. Prefer it over 3.6 at equal cost.</t>
  </si>
  <si>
    <t xml:space="preserve">gemini-2.5-flash</t>
  </si>
  <si>
    <t xml:space="preserve">Stable fallback for all three jobs.</t>
  </si>
  <si>
    <t xml:space="preserve">Previous generation, no scheduled price rise. Useful as a control when you benchmark 3.x.</t>
  </si>
  <si>
    <t xml:space="preserve">gemini-3.1-pro-preview</t>
  </si>
  <si>
    <t xml:space="preserve">low / medium / high
(NO minimal)</t>
  </si>
  <si>
    <t xml:space="preserve">Only where Flash is demonstrably wrong.</t>
  </si>
  <si>
    <t xml:space="preserve">Cannot be set to minimal thinking, so it always reasons and always costs. &gt;200k-token prompts jump to $4 / $18. 8x the output cost of 3.1 Flash-Lite.</t>
  </si>
  <si>
    <t xml:space="preserve">gemini-2.5-pro</t>
  </si>
  <si>
    <t xml:space="preserve">Reasoning benchmark / control.</t>
  </si>
  <si>
    <t xml:space="preserve">&gt;200k-token prompts cost $2.50 / $15.00. Cheaper input than 3.1 Pro, similar output.</t>
  </si>
  <si>
    <t xml:space="preserve">gemini-4-argon</t>
  </si>
  <si>
    <t xml:space="preserve">4</t>
  </si>
  <si>
    <t xml:space="preserve">Gemini 4 reasoning (billed as output)</t>
  </si>
  <si>
    <t xml:space="preserve">1M / 1M</t>
  </si>
  <si>
    <t xml:space="preserve">Not for per-search use. Keep for evaluating the others.</t>
  </si>
  <si>
    <t xml:space="preserve">Flagship. PRICE DOUBLES to $4.00 / $20.00 on 1 Dec 2026. No free tier. Thinking tokens AND tool instructions are billed as output.</t>
  </si>
  <si>
    <t xml:space="preserve">Blue = price taken from the published pricing page. Green row = recommended default.</t>
  </si>
  <si>
    <t xml:space="preserve">Thinking tokens are billed as OUTPUT on every model here. A model left at its default thinking level can emit several times the visible answer in reasoning, so output price matters far more than input price for this workload.</t>
  </si>
  <si>
    <t xml:space="preserve">What these models would actually cost StyleMate</t>
  </si>
  <si>
    <t xml:space="preserve">Per 1,000 operations. Token counts are measured from our own v8 prompts where possible and estimated where marked. Edit the yellow cells to model your own assumptions — every total is a formula.</t>
  </si>
  <si>
    <t xml:space="preserve">Assumptions — edit these</t>
  </si>
  <si>
    <t xml:space="preserve">Search: input tokens per query (Stage A, measured)</t>
  </si>
  <si>
    <t xml:space="preserve">Measured from the v8 two-stage prompt: sentence + catalogue vocabulary, no product rows.</t>
  </si>
  <si>
    <t xml:space="preserve">Search: output tokens per query</t>
  </si>
  <si>
    <t xml:space="preserve">The JSON plan. Raise it if you set a higher thinking level.</t>
  </si>
  <si>
    <t xml:space="preserve">Rerank: input tokens (only on vague queries)</t>
  </si>
  <si>
    <t xml:space="preserve">Up to 60 candidate rows.</t>
  </si>
  <si>
    <t xml:space="preserve">Rerank: output tokens</t>
  </si>
  <si>
    <t xml:space="preserve">Ordered id list plus a sentence.</t>
  </si>
  <si>
    <t xml:space="preserve">Image job: input tokens per photo</t>
  </si>
  <si>
    <t xml:space="preserve">ESTIMATE. The docs state 560 tokens per image for Gemini 3 Pro Image; a 768px photo plus the prompt is assumed here.</t>
  </si>
  <si>
    <t xml:space="preserve">Image job: output tokens per photo</t>
  </si>
  <si>
    <t xml:space="preserve">Undertone/depth JSON, or the garment description.</t>
  </si>
  <si>
    <t xml:space="preserve">Thinking multiplier on output</t>
  </si>
  <si>
    <t xml:space="preserve">1.0 = minimal thinking. Set 3 or 5 to model medium/high — thinking is billed as output.</t>
  </si>
  <si>
    <t xml:space="preserve">Operations per 1,000</t>
  </si>
  <si>
    <t xml:space="preserve">Scale factor for the table below.</t>
  </si>
  <si>
    <t xml:space="preserve">Model</t>
  </si>
  <si>
    <t xml:space="preserve">Output $/1M</t>
  </si>
  <si>
    <t xml:space="preserve">1k simple searches</t>
  </si>
  <si>
    <t xml:space="preserve">1k searches + rerank</t>
  </si>
  <si>
    <t xml:space="preserve">1k photo analyses</t>
  </si>
  <si>
    <t xml:space="preserve">Total for all three</t>
  </si>
  <si>
    <t xml:space="preserve">Read the last column as: the cost of 1,000 simple searches PLUS 1,000 reranked searches PLUS 1,000 photo analyses. Real traffic is mostly simple searches, so column D is the number that matters most.</t>
  </si>
  <si>
    <t xml:space="preserve">Set the thinking multiplier (B11) to 3 or 5 to see what medium or high reasoning does to the bill. It only touches output.</t>
  </si>
  <si>
    <t xml:space="preserve">Prices scheduled to rise are NOT applied here: gemini-4-argon doubles on 1 Dec 2026; the 3.6 and 3.8 Flash models double on 1 Jan 2027.</t>
  </si>
  <si>
    <t xml:space="preserve">How to read this, and what is not certain</t>
  </si>
  <si>
    <t xml:space="preserve">Recommendation</t>
  </si>
  <si>
    <t xml:space="preserve">Start with gemini-3.1-flash-lite for all three jobs. It is the cheapest current-generation model that still reasons, it accepts images, and it defaults to minimal thinking so reasoning is opt-in rather than billed by default.</t>
  </si>
  <si>
    <t xml:space="preserve">Keep gemini-3.8-flash configured as the step-up for sentence understanding, and only move an individual job up if you can show Flash-Lite getting it wrong on your own queries.</t>
  </si>
  <si>
    <t xml:space="preserve">Do not use gemini-4-argon or either Pro per search. They are evaluation tools here: use them to judge the cheap models' answers offline, not to serve traffic.</t>
  </si>
  <si>
    <t xml:space="preserve">Thinking is the cost driver</t>
  </si>
  <si>
    <t xml:space="preserve">On every model listed, thinking tokens are billed as OUTPUT. A model at thinking_level=high can emit several times the visible answer as reasoning you never display. This is why output price, not input price, decides your bill.</t>
  </si>
  <si>
    <t xml:space="preserve">thinking_level takes minimal, low, medium or high. Gemini 3 defaults to high — so a model will think hard, and bill for it, unless you say otherwise. Gemini 3.1 Flash-Lite is the exception and defaults to minimal.</t>
  </si>
  <si>
    <t xml:space="preserve">Gemini 3.1 Pro does not accept minimal. If you choose it, you are choosing to always pay for reasoning.</t>
  </si>
  <si>
    <t xml:space="preserve">The docs say minimal 'does not guarantee that thinking is off', so treat minimal as cheap, not free.</t>
  </si>
  <si>
    <t xml:space="preserve">Scheduled price rises</t>
  </si>
  <si>
    <t xml:space="preserve">gemini-4-argon: $2/$10 becomes $4/$20 on 1 December 2026.</t>
  </si>
  <si>
    <t xml:space="preserve">gemini-3.8-flash and gemini-3.6-flash: $0.75/$3.75 becomes $1.50/$7.50 on 1 January 2027.</t>
  </si>
  <si>
    <t xml:space="preserve">The 2.5 models have no announced rise, which is a genuine argument for them if you want a stable unit cost.</t>
  </si>
  <si>
    <t xml:space="preserve">What I could not verify</t>
  </si>
  <si>
    <t xml:space="preserve">Per-model image-input token cost. The only figure the pricing page states is 560 tokens per image for Gemini 3 Pro Image. The 1,200 tokens used in the estimate is my assumption for a 768px photo plus prompt — measure it on your first real call and correct cell B9.</t>
  </si>
  <si>
    <t xml:space="preserve">Context windows for several models are not published on the models page; those cells say 'not stated' rather than carrying a number I guessed.</t>
  </si>
  <si>
    <t xml:space="preserve">Embedding pricing (gemini-embedding-001, gemini-embedding-2-preview) was not in the sections I read. If you want semantic retrieval instead of lexical, price that separately before committing.</t>
  </si>
  <si>
    <t xml:space="preserve">Free tiers exist on most Flash and Flash-Lite models, but free-tier content may be used to improve Google's products. Do not send shopper photos through a free tier.</t>
  </si>
  <si>
    <t xml:space="preserve">One thing worth deciding first</t>
  </si>
  <si>
    <t xml:space="preserve">The backend already has a provider router with a Gemini path (backend/app/llm/gemini.py) and SM_PROVIDER=auto. The page, however, still calls Ollama directly from the browser and does not use the backend's /api/* routes. Moving to Gemini means routing the page through the backend — otherwise an API key would have to live in the browser, where anyone who opens the page can read it.</t>
  </si>
  <si>
    <t xml:space="preserve">Sources</t>
  </si>
  <si>
    <t xml:space="preserve">Gemini Developer API pricing — https://ai.google.dev/gemini-api/docs/pricing</t>
  </si>
  <si>
    <t xml:space="preserve">Models — https://ai.google.dev/gemini-api/docs/models</t>
  </si>
  <si>
    <t xml:space="preserve">Gemini 3 developer guide (thinking_level, media resolution) — https://ai.google.dev/gemini-api/docs/gemini-3</t>
  </si>
  <si>
    <t xml:space="preserve">All three read on 28 October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</si>
</sst>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382E"/>
        <bgColor rgb="FF333300"/>
      </patternFill>
    </fill>
    <fill>
      <patternFill patternType="solid">
        <fgColor rgb="FFE8F0E4"/>
        <bgColor rgb="FFEFEAE0"/>
      </patternFill>
    </fill>
    <fill>
      <patternFill patternType="solid">
        <fgColor rgb="FFFFFF00"/>
        <bgColor rgb="FFFFFF00"/>
      </patternFill>
    </fill>
    <fill>
      <patternFill patternType="solid">
        <fgColor rgb="FFEFEAE0"/>
        <bgColor rgb="FFE8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F0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A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8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38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45.75" hidden="false" customHeight="true" outlineLevel="0" collapsed="false">
      <c r="A6" s="4" t="s">
        <v>13</v>
      </c>
      <c r="B6" s="5" t="s">
        <v>14</v>
      </c>
      <c r="C6" s="5" t="s">
        <v>15</v>
      </c>
      <c r="D6" s="6" t="n">
        <v>0.25</v>
      </c>
      <c r="E6" s="6" t="n">
        <v>1.5</v>
      </c>
      <c r="F6" s="5" t="s">
        <v>16</v>
      </c>
      <c r="G6" s="7" t="s">
        <v>17</v>
      </c>
      <c r="H6" s="5" t="s">
        <v>18</v>
      </c>
      <c r="I6" s="7" t="s">
        <v>19</v>
      </c>
      <c r="J6" s="7" t="s">
        <v>20</v>
      </c>
    </row>
    <row r="7" customFormat="false" ht="45.75" hidden="false" customHeight="true" outlineLevel="0" collapsed="false">
      <c r="A7" s="8" t="s">
        <v>21</v>
      </c>
      <c r="B7" s="9" t="s">
        <v>22</v>
      </c>
      <c r="C7" s="9" t="s">
        <v>15</v>
      </c>
      <c r="D7" s="10" t="n">
        <v>0.1</v>
      </c>
      <c r="E7" s="10" t="n">
        <v>0.4</v>
      </c>
      <c r="F7" s="9" t="s">
        <v>16</v>
      </c>
      <c r="G7" s="8" t="s">
        <v>23</v>
      </c>
      <c r="H7" s="9" t="s">
        <v>24</v>
      </c>
      <c r="I7" s="8" t="s">
        <v>25</v>
      </c>
      <c r="J7" s="8" t="s">
        <v>26</v>
      </c>
    </row>
    <row r="8" customFormat="false" ht="45.75" hidden="false" customHeight="true" outlineLevel="0" collapsed="false">
      <c r="A8" s="8" t="s">
        <v>27</v>
      </c>
      <c r="B8" s="9" t="s">
        <v>28</v>
      </c>
      <c r="C8" s="9" t="s">
        <v>15</v>
      </c>
      <c r="D8" s="10" t="n">
        <v>0.3</v>
      </c>
      <c r="E8" s="10" t="n">
        <v>2.5</v>
      </c>
      <c r="F8" s="9" t="s">
        <v>16</v>
      </c>
      <c r="G8" s="8" t="s">
        <v>29</v>
      </c>
      <c r="H8" s="9" t="s">
        <v>24</v>
      </c>
      <c r="I8" s="8" t="s">
        <v>30</v>
      </c>
      <c r="J8" s="8" t="s">
        <v>31</v>
      </c>
    </row>
    <row r="9" customFormat="false" ht="45.75" hidden="false" customHeight="true" outlineLevel="0" collapsed="false">
      <c r="A9" s="8" t="s">
        <v>32</v>
      </c>
      <c r="B9" s="9" t="s">
        <v>33</v>
      </c>
      <c r="C9" s="9" t="s">
        <v>34</v>
      </c>
      <c r="D9" s="10" t="n">
        <v>0.5</v>
      </c>
      <c r="E9" s="10" t="n">
        <v>3</v>
      </c>
      <c r="F9" s="9" t="s">
        <v>16</v>
      </c>
      <c r="G9" s="8" t="s">
        <v>29</v>
      </c>
      <c r="H9" s="9" t="s">
        <v>18</v>
      </c>
      <c r="I9" s="8" t="s">
        <v>35</v>
      </c>
      <c r="J9" s="8" t="s">
        <v>36</v>
      </c>
    </row>
    <row r="10" customFormat="false" ht="45.75" hidden="false" customHeight="true" outlineLevel="0" collapsed="false">
      <c r="A10" s="8" t="s">
        <v>37</v>
      </c>
      <c r="B10" s="9" t="s">
        <v>38</v>
      </c>
      <c r="C10" s="9" t="s">
        <v>15</v>
      </c>
      <c r="D10" s="10" t="n">
        <v>0.75</v>
      </c>
      <c r="E10" s="10" t="n">
        <v>3.75</v>
      </c>
      <c r="F10" s="9" t="s">
        <v>16</v>
      </c>
      <c r="G10" s="8" t="s">
        <v>29</v>
      </c>
      <c r="H10" s="9" t="s">
        <v>24</v>
      </c>
      <c r="I10" s="8" t="s">
        <v>39</v>
      </c>
      <c r="J10" s="8" t="s">
        <v>40</v>
      </c>
    </row>
    <row r="11" customFormat="false" ht="45.75" hidden="false" customHeight="true" outlineLevel="0" collapsed="false">
      <c r="A11" s="8" t="s">
        <v>41</v>
      </c>
      <c r="B11" s="9" t="s">
        <v>42</v>
      </c>
      <c r="C11" s="9" t="s">
        <v>15</v>
      </c>
      <c r="D11" s="10" t="n">
        <v>0.75</v>
      </c>
      <c r="E11" s="10" t="n">
        <v>3.75</v>
      </c>
      <c r="F11" s="9" t="s">
        <v>16</v>
      </c>
      <c r="G11" s="8" t="s">
        <v>29</v>
      </c>
      <c r="H11" s="9" t="s">
        <v>24</v>
      </c>
      <c r="I11" s="8" t="s">
        <v>43</v>
      </c>
      <c r="J11" s="8" t="s">
        <v>44</v>
      </c>
    </row>
    <row r="12" customFormat="false" ht="45.75" hidden="false" customHeight="true" outlineLevel="0" collapsed="false">
      <c r="A12" s="8" t="s">
        <v>45</v>
      </c>
      <c r="B12" s="9" t="s">
        <v>22</v>
      </c>
      <c r="C12" s="9" t="s">
        <v>15</v>
      </c>
      <c r="D12" s="10" t="n">
        <v>0.3</v>
      </c>
      <c r="E12" s="10" t="n">
        <v>2.5</v>
      </c>
      <c r="F12" s="9" t="s">
        <v>16</v>
      </c>
      <c r="G12" s="8" t="s">
        <v>23</v>
      </c>
      <c r="H12" s="9" t="s">
        <v>24</v>
      </c>
      <c r="I12" s="8" t="s">
        <v>46</v>
      </c>
      <c r="J12" s="8" t="s">
        <v>47</v>
      </c>
    </row>
    <row r="13" customFormat="false" ht="45.75" hidden="false" customHeight="true" outlineLevel="0" collapsed="false">
      <c r="A13" s="8" t="s">
        <v>48</v>
      </c>
      <c r="B13" s="9" t="s">
        <v>14</v>
      </c>
      <c r="C13" s="9" t="s">
        <v>34</v>
      </c>
      <c r="D13" s="10" t="n">
        <v>2</v>
      </c>
      <c r="E13" s="10" t="n">
        <v>12</v>
      </c>
      <c r="F13" s="9" t="s">
        <v>16</v>
      </c>
      <c r="G13" s="8" t="s">
        <v>49</v>
      </c>
      <c r="H13" s="9" t="s">
        <v>18</v>
      </c>
      <c r="I13" s="8" t="s">
        <v>50</v>
      </c>
      <c r="J13" s="8" t="s">
        <v>51</v>
      </c>
    </row>
    <row r="14" customFormat="false" ht="45.75" hidden="false" customHeight="true" outlineLevel="0" collapsed="false">
      <c r="A14" s="8" t="s">
        <v>52</v>
      </c>
      <c r="B14" s="9" t="s">
        <v>22</v>
      </c>
      <c r="C14" s="9" t="s">
        <v>15</v>
      </c>
      <c r="D14" s="10" t="n">
        <v>1.25</v>
      </c>
      <c r="E14" s="10" t="n">
        <v>10</v>
      </c>
      <c r="F14" s="9" t="s">
        <v>16</v>
      </c>
      <c r="G14" s="8" t="s">
        <v>23</v>
      </c>
      <c r="H14" s="9" t="s">
        <v>24</v>
      </c>
      <c r="I14" s="8" t="s">
        <v>53</v>
      </c>
      <c r="J14" s="8" t="s">
        <v>54</v>
      </c>
    </row>
    <row r="15" customFormat="false" ht="45.75" hidden="false" customHeight="true" outlineLevel="0" collapsed="false">
      <c r="A15" s="8" t="s">
        <v>55</v>
      </c>
      <c r="B15" s="9" t="s">
        <v>56</v>
      </c>
      <c r="C15" s="9" t="s">
        <v>15</v>
      </c>
      <c r="D15" s="10" t="n">
        <v>2</v>
      </c>
      <c r="E15" s="10" t="n">
        <v>10</v>
      </c>
      <c r="F15" s="9" t="s">
        <v>16</v>
      </c>
      <c r="G15" s="8" t="s">
        <v>57</v>
      </c>
      <c r="H15" s="9" t="s">
        <v>58</v>
      </c>
      <c r="I15" s="8" t="s">
        <v>59</v>
      </c>
      <c r="J15" s="8" t="s">
        <v>60</v>
      </c>
    </row>
    <row r="17" customFormat="false" ht="15" hidden="false" customHeight="false" outlineLevel="0" collapsed="false">
      <c r="A17" s="2" t="s">
        <v>61</v>
      </c>
    </row>
    <row r="18" customFormat="false" ht="15" hidden="false" customHeight="false" outlineLevel="0" collapsed="false">
      <c r="A18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3"/>
    <col collapsed="false" customWidth="true" hidden="false" outlineLevel="0" max="4" min="4" style="0" width="19"/>
    <col collapsed="false" customWidth="true" hidden="false" outlineLevel="0" max="5" min="5" style="0" width="21"/>
    <col collapsed="false" customWidth="true" hidden="false" outlineLevel="0" max="7" min="6" style="0" width="19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11" t="s">
        <v>65</v>
      </c>
    </row>
    <row r="5" customFormat="false" ht="74.6" hidden="false" customHeight="false" outlineLevel="0" collapsed="false">
      <c r="A5" s="12" t="s">
        <v>66</v>
      </c>
      <c r="B5" s="13" t="n">
        <v>430</v>
      </c>
      <c r="C5" s="14" t="s">
        <v>67</v>
      </c>
    </row>
    <row r="6" customFormat="false" ht="43.25" hidden="false" customHeight="false" outlineLevel="0" collapsed="false">
      <c r="A6" s="12" t="s">
        <v>68</v>
      </c>
      <c r="B6" s="13" t="n">
        <v>200</v>
      </c>
      <c r="C6" s="14" t="s">
        <v>69</v>
      </c>
    </row>
    <row r="7" customFormat="false" ht="22.35" hidden="false" customHeight="false" outlineLevel="0" collapsed="false">
      <c r="A7" s="12" t="s">
        <v>70</v>
      </c>
      <c r="B7" s="13" t="n">
        <v>1400</v>
      </c>
      <c r="C7" s="14" t="s">
        <v>71</v>
      </c>
    </row>
    <row r="8" customFormat="false" ht="22.35" hidden="false" customHeight="false" outlineLevel="0" collapsed="false">
      <c r="A8" s="12" t="s">
        <v>72</v>
      </c>
      <c r="B8" s="13" t="n">
        <v>300</v>
      </c>
      <c r="C8" s="14" t="s">
        <v>73</v>
      </c>
    </row>
    <row r="9" customFormat="false" ht="95.5" hidden="false" customHeight="false" outlineLevel="0" collapsed="false">
      <c r="A9" s="12" t="s">
        <v>74</v>
      </c>
      <c r="B9" s="13" t="n">
        <v>1200</v>
      </c>
      <c r="C9" s="14" t="s">
        <v>75</v>
      </c>
    </row>
    <row r="10" customFormat="false" ht="43.25" hidden="false" customHeight="false" outlineLevel="0" collapsed="false">
      <c r="A10" s="12" t="s">
        <v>76</v>
      </c>
      <c r="B10" s="13" t="n">
        <v>300</v>
      </c>
      <c r="C10" s="14" t="s">
        <v>77</v>
      </c>
    </row>
    <row r="11" customFormat="false" ht="64.15" hidden="false" customHeight="false" outlineLevel="0" collapsed="false">
      <c r="A11" s="12" t="s">
        <v>78</v>
      </c>
      <c r="B11" s="13" t="n">
        <v>1</v>
      </c>
      <c r="C11" s="14" t="s">
        <v>79</v>
      </c>
    </row>
    <row r="12" customFormat="false" ht="22.35" hidden="false" customHeight="false" outlineLevel="0" collapsed="false">
      <c r="A12" s="12" t="s">
        <v>80</v>
      </c>
      <c r="B12" s="13" t="n">
        <v>1000</v>
      </c>
      <c r="C12" s="14" t="s">
        <v>81</v>
      </c>
    </row>
    <row r="14" customFormat="false" ht="15" hidden="false" customHeight="false" outlineLevel="0" collapsed="false">
      <c r="A14" s="3" t="s">
        <v>82</v>
      </c>
      <c r="B14" s="3" t="s">
        <v>6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</row>
    <row r="15" customFormat="false" ht="15" hidden="false" customHeight="false" outlineLevel="0" collapsed="false">
      <c r="A15" s="15" t="s">
        <v>13</v>
      </c>
      <c r="B15" s="16" t="n">
        <v>0.25</v>
      </c>
      <c r="C15" s="16" t="n">
        <v>1.5</v>
      </c>
      <c r="D15" s="17" t="n">
        <f aca="false">($B$5*$B15/1000000 + $B$6*$B$11*$C15/1000000)*$B$12</f>
        <v>0.4075</v>
      </c>
      <c r="E15" s="17" t="n">
        <f aca="false">(($B$5+$B$7)*$B15/1000000 + ($B$6+$B$8)*$B$11*$C15/1000000)*$B$12</f>
        <v>1.2075</v>
      </c>
      <c r="F15" s="17" t="n">
        <f aca="false">($B$9*$B15/1000000 + $B$10*$B$11*$C15/1000000)*$B$12</f>
        <v>0.75</v>
      </c>
      <c r="G15" s="17" t="n">
        <f aca="false">SUM(D15:F15)</f>
        <v>2.365</v>
      </c>
    </row>
    <row r="16" customFormat="false" ht="15" hidden="false" customHeight="false" outlineLevel="0" collapsed="false">
      <c r="A16" s="15" t="s">
        <v>21</v>
      </c>
      <c r="B16" s="16" t="n">
        <v>0.1</v>
      </c>
      <c r="C16" s="16" t="n">
        <v>0.4</v>
      </c>
      <c r="D16" s="17" t="n">
        <f aca="false">($B$5*$B16/1000000 + $B$6*$B$11*$C16/1000000)*$B$12</f>
        <v>0.123</v>
      </c>
      <c r="E16" s="17" t="n">
        <f aca="false">(($B$5+$B$7)*$B16/1000000 + ($B$6+$B$8)*$B$11*$C16/1000000)*$B$12</f>
        <v>0.383</v>
      </c>
      <c r="F16" s="17" t="n">
        <f aca="false">($B$9*$B16/1000000 + $B$10*$B$11*$C16/1000000)*$B$12</f>
        <v>0.24</v>
      </c>
      <c r="G16" s="17" t="n">
        <f aca="false">SUM(D16:F16)</f>
        <v>0.746</v>
      </c>
    </row>
    <row r="17" customFormat="false" ht="15" hidden="false" customHeight="false" outlineLevel="0" collapsed="false">
      <c r="A17" s="15" t="s">
        <v>27</v>
      </c>
      <c r="B17" s="16" t="n">
        <v>0.3</v>
      </c>
      <c r="C17" s="16" t="n">
        <v>2.5</v>
      </c>
      <c r="D17" s="17" t="n">
        <f aca="false">($B$5*$B17/1000000 + $B$6*$B$11*$C17/1000000)*$B$12</f>
        <v>0.629</v>
      </c>
      <c r="E17" s="17" t="n">
        <f aca="false">(($B$5+$B$7)*$B17/1000000 + ($B$6+$B$8)*$B$11*$C17/1000000)*$B$12</f>
        <v>1.799</v>
      </c>
      <c r="F17" s="17" t="n">
        <f aca="false">($B$9*$B17/1000000 + $B$10*$B$11*$C17/1000000)*$B$12</f>
        <v>1.11</v>
      </c>
      <c r="G17" s="17" t="n">
        <f aca="false">SUM(D17:F17)</f>
        <v>3.538</v>
      </c>
    </row>
    <row r="18" customFormat="false" ht="15" hidden="false" customHeight="false" outlineLevel="0" collapsed="false">
      <c r="A18" s="15" t="s">
        <v>32</v>
      </c>
      <c r="B18" s="16" t="n">
        <v>0.5</v>
      </c>
      <c r="C18" s="16" t="n">
        <v>3</v>
      </c>
      <c r="D18" s="17" t="n">
        <f aca="false">($B$5*$B18/1000000 + $B$6*$B$11*$C18/1000000)*$B$12</f>
        <v>0.815</v>
      </c>
      <c r="E18" s="17" t="n">
        <f aca="false">(($B$5+$B$7)*$B18/1000000 + ($B$6+$B$8)*$B$11*$C18/1000000)*$B$12</f>
        <v>2.415</v>
      </c>
      <c r="F18" s="17" t="n">
        <f aca="false">($B$9*$B18/1000000 + $B$10*$B$11*$C18/1000000)*$B$12</f>
        <v>1.5</v>
      </c>
      <c r="G18" s="17" t="n">
        <f aca="false">SUM(D18:F18)</f>
        <v>4.73</v>
      </c>
    </row>
    <row r="19" customFormat="false" ht="15" hidden="false" customHeight="false" outlineLevel="0" collapsed="false">
      <c r="A19" s="15" t="s">
        <v>37</v>
      </c>
      <c r="B19" s="16" t="n">
        <v>0.75</v>
      </c>
      <c r="C19" s="16" t="n">
        <v>3.75</v>
      </c>
      <c r="D19" s="17" t="n">
        <f aca="false">($B$5*$B19/1000000 + $B$6*$B$11*$C19/1000000)*$B$12</f>
        <v>1.0725</v>
      </c>
      <c r="E19" s="17" t="n">
        <f aca="false">(($B$5+$B$7)*$B19/1000000 + ($B$6+$B$8)*$B$11*$C19/1000000)*$B$12</f>
        <v>3.2475</v>
      </c>
      <c r="F19" s="17" t="n">
        <f aca="false">($B$9*$B19/1000000 + $B$10*$B$11*$C19/1000000)*$B$12</f>
        <v>2.025</v>
      </c>
      <c r="G19" s="17" t="n">
        <f aca="false">SUM(D19:F19)</f>
        <v>6.345</v>
      </c>
    </row>
    <row r="20" customFormat="false" ht="15" hidden="false" customHeight="false" outlineLevel="0" collapsed="false">
      <c r="A20" s="15" t="s">
        <v>41</v>
      </c>
      <c r="B20" s="16" t="n">
        <v>0.75</v>
      </c>
      <c r="C20" s="16" t="n">
        <v>3.75</v>
      </c>
      <c r="D20" s="17" t="n">
        <f aca="false">($B$5*$B20/1000000 + $B$6*$B$11*$C20/1000000)*$B$12</f>
        <v>1.0725</v>
      </c>
      <c r="E20" s="17" t="n">
        <f aca="false">(($B$5+$B$7)*$B20/1000000 + ($B$6+$B$8)*$B$11*$C20/1000000)*$B$12</f>
        <v>3.2475</v>
      </c>
      <c r="F20" s="17" t="n">
        <f aca="false">($B$9*$B20/1000000 + $B$10*$B$11*$C20/1000000)*$B$12</f>
        <v>2.025</v>
      </c>
      <c r="G20" s="17" t="n">
        <f aca="false">SUM(D20:F20)</f>
        <v>6.345</v>
      </c>
    </row>
    <row r="21" customFormat="false" ht="15" hidden="false" customHeight="false" outlineLevel="0" collapsed="false">
      <c r="A21" s="15" t="s">
        <v>45</v>
      </c>
      <c r="B21" s="16" t="n">
        <v>0.3</v>
      </c>
      <c r="C21" s="16" t="n">
        <v>2.5</v>
      </c>
      <c r="D21" s="17" t="n">
        <f aca="false">($B$5*$B21/1000000 + $B$6*$B$11*$C21/1000000)*$B$12</f>
        <v>0.629</v>
      </c>
      <c r="E21" s="17" t="n">
        <f aca="false">(($B$5+$B$7)*$B21/1000000 + ($B$6+$B$8)*$B$11*$C21/1000000)*$B$12</f>
        <v>1.799</v>
      </c>
      <c r="F21" s="17" t="n">
        <f aca="false">($B$9*$B21/1000000 + $B$10*$B$11*$C21/1000000)*$B$12</f>
        <v>1.11</v>
      </c>
      <c r="G21" s="17" t="n">
        <f aca="false">SUM(D21:F21)</f>
        <v>3.538</v>
      </c>
    </row>
    <row r="22" customFormat="false" ht="15" hidden="false" customHeight="false" outlineLevel="0" collapsed="false">
      <c r="A22" s="15" t="s">
        <v>48</v>
      </c>
      <c r="B22" s="16" t="n">
        <v>2</v>
      </c>
      <c r="C22" s="16" t="n">
        <v>12</v>
      </c>
      <c r="D22" s="17" t="n">
        <f aca="false">($B$5*$B22/1000000 + $B$6*$B$11*$C22/1000000)*$B$12</f>
        <v>3.26</v>
      </c>
      <c r="E22" s="17" t="n">
        <f aca="false">(($B$5+$B$7)*$B22/1000000 + ($B$6+$B$8)*$B$11*$C22/1000000)*$B$12</f>
        <v>9.66</v>
      </c>
      <c r="F22" s="17" t="n">
        <f aca="false">($B$9*$B22/1000000 + $B$10*$B$11*$C22/1000000)*$B$12</f>
        <v>6</v>
      </c>
      <c r="G22" s="17" t="n">
        <f aca="false">SUM(D22:F22)</f>
        <v>18.92</v>
      </c>
    </row>
    <row r="23" customFormat="false" ht="15" hidden="false" customHeight="false" outlineLevel="0" collapsed="false">
      <c r="A23" s="15" t="s">
        <v>52</v>
      </c>
      <c r="B23" s="16" t="n">
        <v>1.25</v>
      </c>
      <c r="C23" s="16" t="n">
        <v>10</v>
      </c>
      <c r="D23" s="17" t="n">
        <f aca="false">($B$5*$B23/1000000 + $B$6*$B$11*$C23/1000000)*$B$12</f>
        <v>2.5375</v>
      </c>
      <c r="E23" s="17" t="n">
        <f aca="false">(($B$5+$B$7)*$B23/1000000 + ($B$6+$B$8)*$B$11*$C23/1000000)*$B$12</f>
        <v>7.2875</v>
      </c>
      <c r="F23" s="17" t="n">
        <f aca="false">($B$9*$B23/1000000 + $B$10*$B$11*$C23/1000000)*$B$12</f>
        <v>4.5</v>
      </c>
      <c r="G23" s="17" t="n">
        <f aca="false">SUM(D23:F23)</f>
        <v>14.325</v>
      </c>
    </row>
    <row r="24" customFormat="false" ht="15" hidden="false" customHeight="false" outlineLevel="0" collapsed="false">
      <c r="A24" s="15" t="s">
        <v>55</v>
      </c>
      <c r="B24" s="16" t="n">
        <v>2</v>
      </c>
      <c r="C24" s="16" t="n">
        <v>10</v>
      </c>
      <c r="D24" s="17" t="n">
        <f aca="false">($B$5*$B24/1000000 + $B$6*$B$11*$C24/1000000)*$B$12</f>
        <v>2.86</v>
      </c>
      <c r="E24" s="17" t="n">
        <f aca="false">(($B$5+$B$7)*$B24/1000000 + ($B$6+$B$8)*$B$11*$C24/1000000)*$B$12</f>
        <v>8.66</v>
      </c>
      <c r="F24" s="17" t="n">
        <f aca="false">($B$9*$B24/1000000 + $B$10*$B$11*$C24/1000000)*$B$12</f>
        <v>5.4</v>
      </c>
      <c r="G24" s="17" t="n">
        <f aca="false">SUM(D24:F24)</f>
        <v>16.92</v>
      </c>
    </row>
    <row r="26" customFormat="false" ht="15" hidden="false" customHeight="false" outlineLevel="0" collapsed="false">
      <c r="A26" s="2" t="s">
        <v>88</v>
      </c>
    </row>
    <row r="27" customFormat="false" ht="15" hidden="false" customHeight="false" outlineLevel="0" collapsed="false">
      <c r="A27" s="2" t="s">
        <v>89</v>
      </c>
    </row>
    <row r="28" customFormat="false" ht="15" hidden="false" customHeight="false" outlineLevel="0" collapsed="false">
      <c r="A28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4"/>
  </cols>
  <sheetData>
    <row r="1" customFormat="false" ht="17.35" hidden="false" customHeight="false" outlineLevel="0" collapsed="false">
      <c r="A1" s="1" t="s">
        <v>91</v>
      </c>
    </row>
    <row r="3" customFormat="false" ht="15" hidden="false" customHeight="false" outlineLevel="0" collapsed="false">
      <c r="A3" s="18" t="s">
        <v>92</v>
      </c>
    </row>
    <row r="4" customFormat="false" ht="23.85" hidden="false" customHeight="false" outlineLevel="0" collapsed="false">
      <c r="A4" s="19" t="s">
        <v>93</v>
      </c>
    </row>
    <row r="5" customFormat="false" ht="23.85" hidden="false" customHeight="false" outlineLevel="0" collapsed="false">
      <c r="A5" s="19" t="s">
        <v>94</v>
      </c>
    </row>
    <row r="6" customFormat="false" ht="23.85" hidden="false" customHeight="false" outlineLevel="0" collapsed="false">
      <c r="A6" s="19" t="s">
        <v>95</v>
      </c>
    </row>
    <row r="7" customFormat="false" ht="15" hidden="false" customHeight="false" outlineLevel="0" collapsed="false">
      <c r="A7" s="18" t="s">
        <v>96</v>
      </c>
    </row>
    <row r="8" customFormat="false" ht="23.85" hidden="false" customHeight="false" outlineLevel="0" collapsed="false">
      <c r="A8" s="19" t="s">
        <v>97</v>
      </c>
    </row>
    <row r="9" customFormat="false" ht="23.85" hidden="false" customHeight="false" outlineLevel="0" collapsed="false">
      <c r="A9" s="19" t="s">
        <v>98</v>
      </c>
    </row>
    <row r="10" customFormat="false" ht="15" hidden="false" customHeight="false" outlineLevel="0" collapsed="false">
      <c r="A10" s="19" t="s">
        <v>99</v>
      </c>
    </row>
    <row r="11" customFormat="false" ht="15" hidden="false" customHeight="false" outlineLevel="0" collapsed="false">
      <c r="A11" s="19" t="s">
        <v>100</v>
      </c>
    </row>
    <row r="12" customFormat="false" ht="15" hidden="false" customHeight="false" outlineLevel="0" collapsed="false">
      <c r="A12" s="18" t="s">
        <v>101</v>
      </c>
    </row>
    <row r="13" customFormat="false" ht="15" hidden="false" customHeight="false" outlineLevel="0" collapsed="false">
      <c r="A13" s="19" t="s">
        <v>102</v>
      </c>
    </row>
    <row r="14" customFormat="false" ht="15" hidden="false" customHeight="false" outlineLevel="0" collapsed="false">
      <c r="A14" s="19" t="s">
        <v>103</v>
      </c>
    </row>
    <row r="15" customFormat="false" ht="15" hidden="false" customHeight="false" outlineLevel="0" collapsed="false">
      <c r="A15" s="19" t="s">
        <v>104</v>
      </c>
    </row>
    <row r="16" customFormat="false" ht="15" hidden="false" customHeight="false" outlineLevel="0" collapsed="false">
      <c r="A16" s="18" t="s">
        <v>105</v>
      </c>
    </row>
    <row r="17" customFormat="false" ht="23.85" hidden="false" customHeight="false" outlineLevel="0" collapsed="false">
      <c r="A17" s="19" t="s">
        <v>106</v>
      </c>
    </row>
    <row r="18" customFormat="false" ht="15" hidden="false" customHeight="false" outlineLevel="0" collapsed="false">
      <c r="A18" s="19" t="s">
        <v>107</v>
      </c>
    </row>
    <row r="19" customFormat="false" ht="23.85" hidden="false" customHeight="false" outlineLevel="0" collapsed="false">
      <c r="A19" s="19" t="s">
        <v>108</v>
      </c>
    </row>
    <row r="20" customFormat="false" ht="23.85" hidden="false" customHeight="false" outlineLevel="0" collapsed="false">
      <c r="A20" s="19" t="s">
        <v>109</v>
      </c>
    </row>
    <row r="21" customFormat="false" ht="15" hidden="false" customHeight="false" outlineLevel="0" collapsed="false">
      <c r="A21" s="18" t="s">
        <v>110</v>
      </c>
    </row>
    <row r="22" customFormat="false" ht="35.05" hidden="false" customHeight="false" outlineLevel="0" collapsed="false">
      <c r="A22" s="19" t="s">
        <v>111</v>
      </c>
    </row>
    <row r="23" customFormat="false" ht="15" hidden="false" customHeight="false" outlineLevel="0" collapsed="false">
      <c r="A23" s="18" t="s">
        <v>112</v>
      </c>
    </row>
    <row r="24" customFormat="false" ht="15" hidden="false" customHeight="false" outlineLevel="0" collapsed="false">
      <c r="A24" s="19" t="s">
        <v>113</v>
      </c>
    </row>
    <row r="25" customFormat="false" ht="15" hidden="false" customHeight="false" outlineLevel="0" collapsed="false">
      <c r="A25" s="19" t="s">
        <v>114</v>
      </c>
    </row>
    <row r="26" customFormat="false" ht="15" hidden="false" customHeight="false" outlineLevel="0" collapsed="false">
      <c r="A26" s="19" t="s">
        <v>115</v>
      </c>
    </row>
    <row r="27" customFormat="false" ht="15" hidden="false" customHeight="false" outlineLevel="0" collapsed="false">
      <c r="A27" s="1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2026-10-28T06:09:26Z</dcterms:created>
  <dc:creator>openpyxl</dc:creator>
  <dc:description/>
  <dc:language>en-US</dc:language>
  <cp:lastModifiedBy/>
  <dcterms:modified xsi:type="dcterms:W3CDTF">2026-10-28T06:09:26Z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